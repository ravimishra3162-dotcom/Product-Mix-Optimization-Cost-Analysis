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9B9B9518-8B94-4764-8E7E-94EE55B6875E}" xr6:coauthVersionLast="47" xr6:coauthVersionMax="47" xr10:uidLastSave="{00000000-0000-0000-0000-000000000000}"/>
  <bookViews>
    <workbookView xWindow="-108" yWindow="-108" windowWidth="23256" windowHeight="12456" tabRatio="777" xr2:uid="{00000000-000D-0000-FFFF-FFFF00000000}"/>
  </bookViews>
  <sheets>
    <sheet name="Model" sheetId="1" r:id="rId1"/>
    <sheet name="Model (2)_STS" sheetId="10" state="veryHidden" r:id="rId2"/>
    <sheet name="Modified Model_STS" sheetId="8" state="veryHidden" r:id="rId3"/>
    <sheet name="Model_STS" sheetId="4" state="veryHidden" r:id="rId4"/>
    <sheet name="STS_7" sheetId="17" r:id="rId5"/>
    <sheet name="STS_1" sheetId="21" r:id="rId6"/>
  </sheets>
  <definedNames>
    <definedName name="ChartData" localSheetId="5">STS_1!$K$5:$K$11</definedName>
    <definedName name="ChartData" localSheetId="4">STS_7!$K$5:$K$13</definedName>
    <definedName name="InputValues" localSheetId="5">STS_1!$A$5:$A$11</definedName>
    <definedName name="InputValues" localSheetId="4">STS_7!$A$5:$A$13</definedName>
    <definedName name="OutputAddresses" localSheetId="5">STS_1!$B$4</definedName>
    <definedName name="OutputAddresses" localSheetId="4">STS_7!$B$4</definedName>
    <definedName name="OutputValues" localSheetId="5">STS_1!$B$5:$B$11</definedName>
    <definedName name="OutputValues" localSheetId="4">STS_7!$B$5:$B$13</definedName>
    <definedName name="solver_adj" localSheetId="0" hidden="1">Model!$B$26:$C$26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Model!$B$26:$C$26</definedName>
    <definedName name="solver_lhs2" localSheetId="0" hidden="1">Model!$D$30:$D$31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Model!$D$22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Model!$B$28:$C$28</definedName>
    <definedName name="solver_rhs2" localSheetId="0" hidden="1">Model!$F$30:$F$31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21" l="1"/>
  <c r="K11" i="21"/>
  <c r="K10" i="21"/>
  <c r="K9" i="21"/>
  <c r="K8" i="21"/>
  <c r="K7" i="21"/>
  <c r="K6" i="21"/>
  <c r="K5" i="21"/>
  <c r="J4" i="21"/>
  <c r="K1" i="17"/>
  <c r="K13" i="17"/>
  <c r="K12" i="17"/>
  <c r="K11" i="17"/>
  <c r="K10" i="17"/>
  <c r="K9" i="17"/>
  <c r="K8" i="17"/>
  <c r="K7" i="17"/>
  <c r="K6" i="17"/>
  <c r="K5" i="17"/>
  <c r="J4" i="17"/>
  <c r="F31" i="1"/>
  <c r="F30" i="1"/>
  <c r="C31" i="1"/>
  <c r="C30" i="1"/>
  <c r="B31" i="1"/>
  <c r="B30" i="1"/>
  <c r="C19" i="1"/>
  <c r="B19" i="1"/>
  <c r="C22" i="1"/>
  <c r="C28" i="1"/>
  <c r="B28" i="1"/>
  <c r="B22" i="1"/>
  <c r="D22" i="1" l="1"/>
  <c r="D31" i="1"/>
  <c r="D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RaviShan.Mishra</author>
  </authors>
  <commentList>
    <comment ref="B5" authorId="0" shapeId="0" xr:uid="{D02055B0-8F88-46CE-A951-68D0833C792C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" authorId="0" shapeId="0" xr:uid="{8F309050-9F94-4E72-9B76-56D7BC6B8BE0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" authorId="0" shapeId="0" xr:uid="{6A89482F-140E-4D18-A7D7-D20AF68FE828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8" authorId="0" shapeId="0" xr:uid="{74F810FB-7D09-4B62-9832-518E2510E36B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9" authorId="0" shapeId="0" xr:uid="{E57CC13C-6645-4ACF-A3B7-5B935B866043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0" authorId="0" shapeId="0" xr:uid="{AA09129E-DFEB-49F1-811F-FD53C680074A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1" authorId="0" shapeId="0" xr:uid="{5268ADFB-0439-478C-98AF-863BF5647B26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2" authorId="0" shapeId="0" xr:uid="{BE549243-7B1B-425E-ABCD-3CFA0A5D6BFF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3" authorId="0" shapeId="0" xr:uid="{9448E389-DA22-4821-8B1E-C97EEC9F4189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RaviShan.Mishra</author>
  </authors>
  <commentList>
    <comment ref="B5" authorId="0" shapeId="0" xr:uid="{22D90794-3538-49BB-97AB-54AD175250FD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" authorId="0" shapeId="0" xr:uid="{C6232210-58A7-48FA-872B-9AE969B7E73A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" authorId="0" shapeId="0" xr:uid="{3A3BF734-18A8-443F-8EEF-A49CD95020D6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8" authorId="0" shapeId="0" xr:uid="{C40D2FD7-BFC5-423E-B017-153A359C79B8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9" authorId="0" shapeId="0" xr:uid="{D7537FC0-F558-4BA2-8B44-8FD14DA09267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0" authorId="0" shapeId="0" xr:uid="{7D976E6E-5132-42EC-99D7-EBCE551E5D01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1" authorId="0" shapeId="0" xr:uid="{8148BD41-1D5D-463A-BF57-4D6A5F15167F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</commentList>
</comments>
</file>

<file path=xl/sharedStrings.xml><?xml version="1.0" encoding="utf-8"?>
<sst xmlns="http://schemas.openxmlformats.org/spreadsheetml/2006/main" count="53" uniqueCount="37">
  <si>
    <t>Assembling and testing computers</t>
  </si>
  <si>
    <t>Basic</t>
  </si>
  <si>
    <t>XP</t>
  </si>
  <si>
    <t>Inputs for assembling and testing a computer</t>
  </si>
  <si>
    <t>Labor hours for assembly</t>
  </si>
  <si>
    <t>Labor hours for testing</t>
  </si>
  <si>
    <t>Cost of component parts</t>
  </si>
  <si>
    <t>Selling price</t>
  </si>
  <si>
    <t>Cost per labor hour assembling</t>
  </si>
  <si>
    <t>Cost per labor hour testing</t>
  </si>
  <si>
    <t>Maximum sales</t>
  </si>
  <si>
    <t>$C$11</t>
  </si>
  <si>
    <t>$B$16:$C$16,$D$25</t>
  </si>
  <si>
    <t>$D$21</t>
  </si>
  <si>
    <t/>
  </si>
  <si>
    <t>$D$22</t>
  </si>
  <si>
    <t>Assembling hours</t>
  </si>
  <si>
    <t>Testing hours</t>
  </si>
  <si>
    <t>$G$18</t>
  </si>
  <si>
    <t>% change in max sales</t>
  </si>
  <si>
    <t>$B$16:$C$16,$D$25,$B$12</t>
  </si>
  <si>
    <t>Hours available for assembly</t>
  </si>
  <si>
    <t>Hours available for testing</t>
  </si>
  <si>
    <t xml:space="preserve"># of computers to produce </t>
  </si>
  <si>
    <t>Total profit</t>
  </si>
  <si>
    <t>unit margin</t>
  </si>
  <si>
    <t xml:space="preserve">Labor hours use for assembly </t>
  </si>
  <si>
    <t>Labor hours use for testing</t>
  </si>
  <si>
    <t>Total houres</t>
  </si>
  <si>
    <t>&lt;=</t>
  </si>
  <si>
    <t>$B$16</t>
  </si>
  <si>
    <t>One-way analysis for Solver model in Model worksheet</t>
  </si>
  <si>
    <t>Hours available for assembly line  (cell $B$16) values along side, output cell(s) along top</t>
  </si>
  <si>
    <t>Data for chart</t>
  </si>
  <si>
    <t>Input</t>
  </si>
  <si>
    <t xml:space="preserve">selling price </t>
  </si>
  <si>
    <t>selling price  (cell $C$11) values along side, output cell(s) along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</si>
</sst>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164" fontId="0" fillId="2" borderId="0" xfId="0" applyNumberFormat="1" applyFill="1"/>
    <xf numFmtId="49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0" borderId="0" xfId="0" applyAlignment="1">
      <alignment horizontal="right" textRotation="90"/>
    </xf>
    <xf numFmtId="0" fontId="0" fillId="4" borderId="0" xfId="0" applyFill="1" applyAlignment="1">
      <alignment horizontal="right" textRotation="90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STS_7!$K$1</c:f>
          <c:strCache>
            <c:ptCount val="1"/>
            <c:pt idx="0">
              <c:v>Sensitivity of $D$22 to Hours available for assembly line </c:v>
            </c:pt>
          </c:strCache>
        </c:strRef>
      </c:tx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numRef>
              <c:f>STS_7!$A$5:$A$13</c:f>
              <c:numCache>
                <c:formatCode>General</c:formatCode>
                <c:ptCount val="9"/>
                <c:pt idx="0">
                  <c:v>10000</c:v>
                </c:pt>
                <c:pt idx="1">
                  <c:v>10500</c:v>
                </c:pt>
                <c:pt idx="2">
                  <c:v>11000</c:v>
                </c:pt>
                <c:pt idx="3">
                  <c:v>11500</c:v>
                </c:pt>
                <c:pt idx="4">
                  <c:v>12000</c:v>
                </c:pt>
                <c:pt idx="5">
                  <c:v>12500</c:v>
                </c:pt>
                <c:pt idx="6">
                  <c:v>13000</c:v>
                </c:pt>
                <c:pt idx="7">
                  <c:v>13500</c:v>
                </c:pt>
                <c:pt idx="8">
                  <c:v>14000</c:v>
                </c:pt>
              </c:numCache>
            </c:numRef>
          </c:cat>
          <c:val>
            <c:numRef>
              <c:f>STS_7!$K$5:$K$13</c:f>
              <c:numCache>
                <c:formatCode>General</c:formatCode>
                <c:ptCount val="9"/>
                <c:pt idx="0">
                  <c:v>199600</c:v>
                </c:pt>
                <c:pt idx="1">
                  <c:v>202800</c:v>
                </c:pt>
                <c:pt idx="2">
                  <c:v>202800</c:v>
                </c:pt>
                <c:pt idx="3">
                  <c:v>202800</c:v>
                </c:pt>
                <c:pt idx="4">
                  <c:v>202800</c:v>
                </c:pt>
                <c:pt idx="5">
                  <c:v>202800</c:v>
                </c:pt>
                <c:pt idx="6">
                  <c:v>202800</c:v>
                </c:pt>
                <c:pt idx="7">
                  <c:v>202800</c:v>
                </c:pt>
                <c:pt idx="8">
                  <c:v>202800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D2-4336-94DA-2CA88D55A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070096"/>
        <c:axId val="1396073456"/>
      </c:lineChart>
      <c:catAx>
        <c:axId val="1396070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available for assembly line  ($B$16)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6073456"/>
        <c:crosses val="autoZero"/>
        <c:auto val="1"/>
        <c:lblAlgn val="ctr"/>
        <c:lblOffset val="100"/>
        <c:noMultiLvlLbl val="0"/>
      </c:catAx>
      <c:valAx>
        <c:axId val="1396073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607009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5875" cap="flat" cmpd="sng" algn="ctr">
      <a:solidFill>
        <a:schemeClr val="accent1">
          <a:lumMod val="100000"/>
        </a:schemeClr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STS_1!$K$1</c:f>
          <c:strCache>
            <c:ptCount val="1"/>
            <c:pt idx="0">
              <c:v>Sensitivity of $D$22 to selling price </c:v>
            </c:pt>
          </c:strCache>
        </c:strRef>
      </c:tx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numRef>
              <c:f>STS_1!$A$5:$A$11</c:f>
              <c:numCache>
                <c:formatCode>"$"#,##0</c:formatCode>
                <c:ptCount val="7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</c:numCache>
            </c:numRef>
          </c:cat>
          <c:val>
            <c:numRef>
              <c:f>STS_1!$K$5:$K$11</c:f>
              <c:numCache>
                <c:formatCode>General</c:formatCode>
                <c:ptCount val="7"/>
                <c:pt idx="0">
                  <c:v>48000</c:v>
                </c:pt>
                <c:pt idx="1">
                  <c:v>82800</c:v>
                </c:pt>
                <c:pt idx="2">
                  <c:v>142800</c:v>
                </c:pt>
                <c:pt idx="3">
                  <c:v>202800</c:v>
                </c:pt>
                <c:pt idx="4">
                  <c:v>262800</c:v>
                </c:pt>
                <c:pt idx="5">
                  <c:v>322800</c:v>
                </c:pt>
                <c:pt idx="6">
                  <c:v>382800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9-4599-9E77-65B83AB57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308224"/>
        <c:axId val="1126310144"/>
      </c:lineChart>
      <c:catAx>
        <c:axId val="112630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selling price  ($C$11)</a:t>
                </a:r>
              </a:p>
            </c:rich>
          </c:tx>
          <c:overlay val="0"/>
        </c:title>
        <c:numFmt formatCode="&quot;$&quot;#,##0" sourceLinked="1"/>
        <c:majorTickMark val="out"/>
        <c:minorTickMark val="none"/>
        <c:tickLblPos val="nextTo"/>
        <c:crossAx val="1126310144"/>
        <c:crosses val="autoZero"/>
        <c:auto val="1"/>
        <c:lblAlgn val="ctr"/>
        <c:lblOffset val="100"/>
        <c:noMultiLvlLbl val="0"/>
      </c:catAx>
      <c:valAx>
        <c:axId val="112631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63082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5875" cap="flat" cmpd="sng" algn="ctr">
      <a:solidFill>
        <a:schemeClr val="accent1">
          <a:lumMod val="100000"/>
        </a:schemeClr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297016</xdr:colOff>
      <xdr:row>2</xdr:row>
      <xdr:rowOff>163870</xdr:rowOff>
    </xdr:from>
    <xdr:to>
      <xdr:col>25</xdr:col>
      <xdr:colOff>472099</xdr:colOff>
      <xdr:row>30</xdr:row>
      <xdr:rowOff>97537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6AE4A-348E-36F7-E54E-5A30F396F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7258" y="553064"/>
          <a:ext cx="10621857" cy="5382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14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2" name="STS_7_Chart">
          <a:extLst>
            <a:ext uri="{FF2B5EF4-FFF2-40B4-BE49-F238E27FC236}">
              <a16:creationId xmlns:a16="http://schemas.microsoft.com/office/drawing/2014/main" id="{B1178E70-6F6C-6927-CCFE-7B692BB05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0</xdr:colOff>
      <xdr:row>3</xdr:row>
      <xdr:rowOff>0</xdr:rowOff>
    </xdr:from>
    <xdr:to>
      <xdr:col>16</xdr:col>
      <xdr:colOff>0</xdr:colOff>
      <xdr:row>5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A97026-7A42-385A-7500-BF3F6DA64D2F}"/>
            </a:ext>
          </a:extLst>
        </xdr:cNvPr>
        <xdr:cNvSpPr txBox="1"/>
      </xdr:nvSpPr>
      <xdr:spPr>
        <a:xfrm>
          <a:off x="7315200" y="571500"/>
          <a:ext cx="2438400" cy="762000"/>
        </a:xfrm>
        <a:prstGeom prst="rect">
          <a:avLst/>
        </a:prstGeom>
        <a:solidFill>
          <a:schemeClr val="lt1"/>
        </a:solidFill>
        <a:ln w="15875" cap="flat" cmpd="sng" algn="ctr">
          <a:solidFill>
            <a:schemeClr val="accent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When you select an output from the dropdown list in cell $K$4, the chart will adapt to that output.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12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2" name="STS_1_Chart">
          <a:extLst>
            <a:ext uri="{FF2B5EF4-FFF2-40B4-BE49-F238E27FC236}">
              <a16:creationId xmlns:a16="http://schemas.microsoft.com/office/drawing/2014/main" id="{E22FA424-1134-4DD0-3A29-FD8A7A4F5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0</xdr:colOff>
      <xdr:row>3</xdr:row>
      <xdr:rowOff>0</xdr:rowOff>
    </xdr:from>
    <xdr:to>
      <xdr:col>16</xdr:col>
      <xdr:colOff>0</xdr:colOff>
      <xdr:row>5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B38579-6618-3978-67AF-DE6BF9DD4F22}"/>
            </a:ext>
          </a:extLst>
        </xdr:cNvPr>
        <xdr:cNvSpPr txBox="1"/>
      </xdr:nvSpPr>
      <xdr:spPr>
        <a:xfrm>
          <a:off x="7315200" y="571500"/>
          <a:ext cx="2438400" cy="762000"/>
        </a:xfrm>
        <a:prstGeom prst="rect">
          <a:avLst/>
        </a:prstGeom>
        <a:solidFill>
          <a:schemeClr val="lt1"/>
        </a:solidFill>
        <a:ln w="15875" cap="flat" cmpd="sng" algn="ctr">
          <a:solidFill>
            <a:schemeClr val="accent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When you select an output from the dropdown list in cell $K$4, the chart will adapt to that output.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31"/>
  <sheetViews>
    <sheetView tabSelected="1" zoomScale="93" zoomScaleNormal="93" workbookViewId="0"/>
  </sheetViews>
  <sheetFormatPr defaultRowHeight="14.4" x14ac:dyDescent="0.3"/>
  <cols>
    <col min="1" max="1" width="31" customWidth="1"/>
    <col min="2" max="2" width="12.44140625" bestFit="1" customWidth="1"/>
    <col min="3" max="3" width="11.6640625" customWidth="1"/>
    <col min="4" max="4" width="12" bestFit="1" customWidth="1"/>
    <col min="5" max="5" width="19.6640625" bestFit="1" customWidth="1"/>
  </cols>
  <sheetData>
    <row r="1" spans="1:5" x14ac:dyDescent="0.3">
      <c r="A1" s="1" t="s">
        <v>0</v>
      </c>
      <c r="E1" s="1"/>
    </row>
    <row r="3" spans="1:5" x14ac:dyDescent="0.3">
      <c r="A3" t="s">
        <v>8</v>
      </c>
      <c r="B3" s="4">
        <v>11</v>
      </c>
    </row>
    <row r="4" spans="1:5" x14ac:dyDescent="0.3">
      <c r="A4" t="s">
        <v>9</v>
      </c>
      <c r="B4" s="4">
        <v>15</v>
      </c>
    </row>
    <row r="6" spans="1:5" x14ac:dyDescent="0.3">
      <c r="A6" t="s">
        <v>3</v>
      </c>
    </row>
    <row r="7" spans="1:5" x14ac:dyDescent="0.3">
      <c r="B7" s="2" t="s">
        <v>1</v>
      </c>
      <c r="C7" s="2" t="s">
        <v>2</v>
      </c>
    </row>
    <row r="8" spans="1:5" x14ac:dyDescent="0.3">
      <c r="A8" t="s">
        <v>4</v>
      </c>
      <c r="B8" s="3">
        <v>5</v>
      </c>
      <c r="C8" s="3">
        <v>6</v>
      </c>
    </row>
    <row r="9" spans="1:5" x14ac:dyDescent="0.3">
      <c r="A9" t="s">
        <v>5</v>
      </c>
      <c r="B9" s="3">
        <v>1</v>
      </c>
      <c r="C9" s="3">
        <v>2</v>
      </c>
    </row>
    <row r="10" spans="1:5" x14ac:dyDescent="0.3">
      <c r="A10" t="s">
        <v>6</v>
      </c>
      <c r="B10" s="4">
        <v>150</v>
      </c>
      <c r="C10" s="4">
        <v>225</v>
      </c>
    </row>
    <row r="11" spans="1:5" x14ac:dyDescent="0.3">
      <c r="A11" t="s">
        <v>7</v>
      </c>
      <c r="B11" s="4">
        <v>300</v>
      </c>
      <c r="C11" s="4">
        <v>450</v>
      </c>
    </row>
    <row r="12" spans="1:5" x14ac:dyDescent="0.3">
      <c r="B12" s="6"/>
      <c r="C12" s="6"/>
    </row>
    <row r="14" spans="1:5" x14ac:dyDescent="0.3">
      <c r="A14" t="s">
        <v>10</v>
      </c>
      <c r="B14" s="3">
        <v>600</v>
      </c>
      <c r="C14" s="3">
        <v>1200</v>
      </c>
    </row>
    <row r="16" spans="1:5" x14ac:dyDescent="0.3">
      <c r="A16" t="s">
        <v>21</v>
      </c>
      <c r="B16" s="3">
        <v>12000</v>
      </c>
    </row>
    <row r="17" spans="1:6" x14ac:dyDescent="0.3">
      <c r="A17" t="s">
        <v>22</v>
      </c>
      <c r="B17" s="3">
        <v>3000</v>
      </c>
    </row>
    <row r="18" spans="1:6" x14ac:dyDescent="0.3">
      <c r="B18" t="s">
        <v>1</v>
      </c>
      <c r="C18" t="s">
        <v>2</v>
      </c>
    </row>
    <row r="19" spans="1:6" x14ac:dyDescent="0.3">
      <c r="A19" t="s">
        <v>25</v>
      </c>
      <c r="B19" s="6">
        <f>B11-(B10+B9*B4+B8*B3)</f>
        <v>80</v>
      </c>
      <c r="C19" s="6">
        <f>C11-(C10+C9*B4+C8*B3)</f>
        <v>129</v>
      </c>
    </row>
    <row r="22" spans="1:6" x14ac:dyDescent="0.3">
      <c r="A22" t="s">
        <v>24</v>
      </c>
      <c r="B22">
        <f>B19*B26</f>
        <v>48000</v>
      </c>
      <c r="C22">
        <f>C19*C26</f>
        <v>154800</v>
      </c>
      <c r="D22">
        <f>SUM(B22:C22)</f>
        <v>202800</v>
      </c>
    </row>
    <row r="25" spans="1:6" x14ac:dyDescent="0.3">
      <c r="B25" t="s">
        <v>1</v>
      </c>
      <c r="C25" t="s">
        <v>2</v>
      </c>
    </row>
    <row r="26" spans="1:6" x14ac:dyDescent="0.3">
      <c r="A26" t="s">
        <v>23</v>
      </c>
      <c r="B26" s="7">
        <v>600</v>
      </c>
      <c r="C26" s="7">
        <v>1200</v>
      </c>
    </row>
    <row r="27" spans="1:6" x14ac:dyDescent="0.3">
      <c r="B27" t="s">
        <v>29</v>
      </c>
      <c r="C27" t="s">
        <v>29</v>
      </c>
    </row>
    <row r="28" spans="1:6" x14ac:dyDescent="0.3">
      <c r="B28">
        <f>600</f>
        <v>600</v>
      </c>
      <c r="C28">
        <f>1200</f>
        <v>1200</v>
      </c>
    </row>
    <row r="29" spans="1:6" x14ac:dyDescent="0.3">
      <c r="D29" t="s">
        <v>28</v>
      </c>
    </row>
    <row r="30" spans="1:6" x14ac:dyDescent="0.3">
      <c r="A30" t="s">
        <v>26</v>
      </c>
      <c r="B30">
        <f>B26*B8</f>
        <v>3000</v>
      </c>
      <c r="C30">
        <f>C26*C8</f>
        <v>7200</v>
      </c>
      <c r="D30">
        <f>SUM(B30:C30)</f>
        <v>10200</v>
      </c>
      <c r="E30" t="s">
        <v>29</v>
      </c>
      <c r="F30" s="3">
        <f>B16</f>
        <v>12000</v>
      </c>
    </row>
    <row r="31" spans="1:6" x14ac:dyDescent="0.3">
      <c r="A31" t="s">
        <v>27</v>
      </c>
      <c r="B31">
        <f>B26*B9</f>
        <v>600</v>
      </c>
      <c r="C31">
        <f>C26*C9</f>
        <v>2400</v>
      </c>
      <c r="D31">
        <f>SUM(B31:C31)</f>
        <v>3000</v>
      </c>
      <c r="E31" t="s">
        <v>29</v>
      </c>
      <c r="F31" s="3">
        <f>B17</f>
        <v>3000</v>
      </c>
    </row>
  </sheetData>
  <printOptions headings="1" gridLines="1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08D2-77BC-41E9-8B7B-B6CFE11843A1}">
  <dimension ref="A1:B15"/>
  <sheetViews>
    <sheetView workbookViewId="0"/>
  </sheetViews>
  <sheetFormatPr defaultRowHeight="14.4" x14ac:dyDescent="0.3"/>
  <sheetData>
    <row r="1" spans="1:2" x14ac:dyDescent="0.3">
      <c r="A1">
        <v>1</v>
      </c>
    </row>
    <row r="2" spans="1:2" x14ac:dyDescent="0.3">
      <c r="A2" t="s">
        <v>30</v>
      </c>
    </row>
    <row r="3" spans="1:2" x14ac:dyDescent="0.3">
      <c r="A3">
        <v>1</v>
      </c>
    </row>
    <row r="4" spans="1:2" x14ac:dyDescent="0.3">
      <c r="A4">
        <v>10000</v>
      </c>
    </row>
    <row r="5" spans="1:2" x14ac:dyDescent="0.3">
      <c r="A5">
        <v>14000</v>
      </c>
    </row>
    <row r="6" spans="1:2" x14ac:dyDescent="0.3">
      <c r="A6">
        <v>500</v>
      </c>
    </row>
    <row r="8" spans="1:2" x14ac:dyDescent="0.3">
      <c r="A8" s="5"/>
      <c r="B8" s="5"/>
    </row>
    <row r="9" spans="1:2" x14ac:dyDescent="0.3">
      <c r="A9" t="s">
        <v>15</v>
      </c>
    </row>
    <row r="10" spans="1:2" x14ac:dyDescent="0.3">
      <c r="A10" t="s">
        <v>34</v>
      </c>
    </row>
    <row r="15" spans="1:2" x14ac:dyDescent="0.3">
      <c r="B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B15"/>
  <sheetViews>
    <sheetView workbookViewId="0"/>
  </sheetViews>
  <sheetFormatPr defaultRowHeight="14.4" x14ac:dyDescent="0.3"/>
  <sheetData>
    <row r="1" spans="1:2" x14ac:dyDescent="0.3">
      <c r="A1">
        <v>1</v>
      </c>
    </row>
    <row r="2" spans="1:2" x14ac:dyDescent="0.3">
      <c r="A2" t="s">
        <v>18</v>
      </c>
    </row>
    <row r="3" spans="1:2" x14ac:dyDescent="0.3">
      <c r="A3">
        <v>1</v>
      </c>
    </row>
    <row r="4" spans="1:2" x14ac:dyDescent="0.3">
      <c r="A4">
        <v>-0.3</v>
      </c>
    </row>
    <row r="5" spans="1:2" x14ac:dyDescent="0.3">
      <c r="A5">
        <v>0.3</v>
      </c>
    </row>
    <row r="6" spans="1:2" x14ac:dyDescent="0.3">
      <c r="A6">
        <v>0.1</v>
      </c>
    </row>
    <row r="8" spans="1:2" x14ac:dyDescent="0.3">
      <c r="A8" s="5"/>
      <c r="B8" s="5"/>
    </row>
    <row r="9" spans="1:2" x14ac:dyDescent="0.3">
      <c r="A9" t="s">
        <v>20</v>
      </c>
    </row>
    <row r="10" spans="1:2" x14ac:dyDescent="0.3">
      <c r="A10" t="s">
        <v>19</v>
      </c>
    </row>
    <row r="15" spans="1:2" x14ac:dyDescent="0.3">
      <c r="B1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B18"/>
  <sheetViews>
    <sheetView workbookViewId="0"/>
  </sheetViews>
  <sheetFormatPr defaultRowHeight="14.4" x14ac:dyDescent="0.3"/>
  <sheetData>
    <row r="1" spans="1:2" x14ac:dyDescent="0.3">
      <c r="A1">
        <v>1</v>
      </c>
      <c r="B1">
        <v>1</v>
      </c>
    </row>
    <row r="2" spans="1:2" x14ac:dyDescent="0.3">
      <c r="A2" t="s">
        <v>11</v>
      </c>
      <c r="B2" t="s">
        <v>13</v>
      </c>
    </row>
    <row r="3" spans="1:2" x14ac:dyDescent="0.3">
      <c r="A3">
        <v>1</v>
      </c>
      <c r="B3">
        <v>1</v>
      </c>
    </row>
    <row r="4" spans="1:2" x14ac:dyDescent="0.3">
      <c r="A4">
        <v>300</v>
      </c>
      <c r="B4">
        <v>8000</v>
      </c>
    </row>
    <row r="5" spans="1:2" x14ac:dyDescent="0.3">
      <c r="A5">
        <v>600</v>
      </c>
      <c r="B5">
        <v>12000</v>
      </c>
    </row>
    <row r="6" spans="1:2" x14ac:dyDescent="0.3">
      <c r="A6">
        <v>50</v>
      </c>
      <c r="B6">
        <v>500</v>
      </c>
    </row>
    <row r="8" spans="1:2" x14ac:dyDescent="0.3">
      <c r="A8" s="5"/>
      <c r="B8" s="5" t="s">
        <v>14</v>
      </c>
    </row>
    <row r="9" spans="1:2" x14ac:dyDescent="0.3">
      <c r="A9" t="s">
        <v>15</v>
      </c>
      <c r="B9" t="s">
        <v>15</v>
      </c>
    </row>
    <row r="10" spans="1:2" x14ac:dyDescent="0.3">
      <c r="A10" t="s">
        <v>35</v>
      </c>
      <c r="B10">
        <v>1</v>
      </c>
    </row>
    <row r="11" spans="1:2" x14ac:dyDescent="0.3">
      <c r="B11">
        <v>2000</v>
      </c>
    </row>
    <row r="12" spans="1:2" x14ac:dyDescent="0.3">
      <c r="B12">
        <v>5000</v>
      </c>
    </row>
    <row r="13" spans="1:2" x14ac:dyDescent="0.3">
      <c r="B13">
        <v>500</v>
      </c>
    </row>
    <row r="15" spans="1:2" x14ac:dyDescent="0.3">
      <c r="B15" s="5" t="s">
        <v>14</v>
      </c>
    </row>
    <row r="16" spans="1:2" x14ac:dyDescent="0.3">
      <c r="B16" t="s">
        <v>12</v>
      </c>
    </row>
    <row r="17" spans="2:2" x14ac:dyDescent="0.3">
      <c r="B17" t="s">
        <v>16</v>
      </c>
    </row>
    <row r="18" spans="2:2" x14ac:dyDescent="0.3">
      <c r="B18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9856-0059-4954-A43E-C7B563A5A846}">
  <dimension ref="A1:K13"/>
  <sheetViews>
    <sheetView workbookViewId="0"/>
  </sheetViews>
  <sheetFormatPr defaultRowHeight="14.4" x14ac:dyDescent="0.3"/>
  <sheetData>
    <row r="1" spans="1:11" x14ac:dyDescent="0.3">
      <c r="A1" s="1" t="s">
        <v>31</v>
      </c>
      <c r="K1" s="10" t="str">
        <f>CONCATENATE("Sensitivity of ",$K$4," to ","Hours available for assembly line ")</f>
        <v xml:space="preserve">Sensitivity of $D$22 to Hours available for assembly line </v>
      </c>
    </row>
    <row r="3" spans="1:11" x14ac:dyDescent="0.3">
      <c r="A3" t="s">
        <v>32</v>
      </c>
      <c r="K3" t="s">
        <v>33</v>
      </c>
    </row>
    <row r="4" spans="1:11" ht="33.6" x14ac:dyDescent="0.3">
      <c r="B4" s="8" t="s">
        <v>15</v>
      </c>
      <c r="J4" s="10">
        <f>MATCH($K$4,OutputAddresses,0)</f>
        <v>1</v>
      </c>
      <c r="K4" s="9" t="s">
        <v>15</v>
      </c>
    </row>
    <row r="5" spans="1:11" x14ac:dyDescent="0.3">
      <c r="A5">
        <v>10000</v>
      </c>
      <c r="B5" s="11">
        <v>199600</v>
      </c>
      <c r="K5">
        <f>INDEX(OutputValues,1,$J$4)</f>
        <v>199600</v>
      </c>
    </row>
    <row r="6" spans="1:11" x14ac:dyDescent="0.3">
      <c r="A6">
        <v>10500</v>
      </c>
      <c r="B6" s="12">
        <v>202800</v>
      </c>
      <c r="K6">
        <f>INDEX(OutputValues,2,$J$4)</f>
        <v>202800</v>
      </c>
    </row>
    <row r="7" spans="1:11" x14ac:dyDescent="0.3">
      <c r="A7">
        <v>11000</v>
      </c>
      <c r="B7" s="12">
        <v>202800</v>
      </c>
      <c r="K7">
        <f>INDEX(OutputValues,3,$J$4)</f>
        <v>202800</v>
      </c>
    </row>
    <row r="8" spans="1:11" x14ac:dyDescent="0.3">
      <c r="A8">
        <v>11500</v>
      </c>
      <c r="B8" s="12">
        <v>202800</v>
      </c>
      <c r="K8">
        <f>INDEX(OutputValues,4,$J$4)</f>
        <v>202800</v>
      </c>
    </row>
    <row r="9" spans="1:11" x14ac:dyDescent="0.3">
      <c r="A9">
        <v>12000</v>
      </c>
      <c r="B9" s="12">
        <v>202800</v>
      </c>
      <c r="K9">
        <f>INDEX(OutputValues,5,$J$4)</f>
        <v>202800</v>
      </c>
    </row>
    <row r="10" spans="1:11" x14ac:dyDescent="0.3">
      <c r="A10">
        <v>12500</v>
      </c>
      <c r="B10" s="12">
        <v>202800</v>
      </c>
      <c r="K10">
        <f>INDEX(OutputValues,6,$J$4)</f>
        <v>202800</v>
      </c>
    </row>
    <row r="11" spans="1:11" x14ac:dyDescent="0.3">
      <c r="A11">
        <v>13000</v>
      </c>
      <c r="B11" s="12">
        <v>202800</v>
      </c>
      <c r="K11">
        <f>INDEX(OutputValues,7,$J$4)</f>
        <v>202800</v>
      </c>
    </row>
    <row r="12" spans="1:11" x14ac:dyDescent="0.3">
      <c r="A12">
        <v>13500</v>
      </c>
      <c r="B12" s="12">
        <v>202800</v>
      </c>
      <c r="K12">
        <f>INDEX(OutputValues,8,$J$4)</f>
        <v>202800</v>
      </c>
    </row>
    <row r="13" spans="1:11" x14ac:dyDescent="0.3">
      <c r="A13">
        <v>14000</v>
      </c>
      <c r="B13" s="13">
        <v>202800</v>
      </c>
      <c r="K13">
        <f>INDEX(OutputValues,9,$J$4)</f>
        <v>202800</v>
      </c>
    </row>
  </sheetData>
  <dataValidations count="1">
    <dataValidation type="list" allowBlank="1" showInputMessage="1" showErrorMessage="1" sqref="K4" xr:uid="{A1D77958-8EA5-43BC-9A84-EDB258D791EA}">
      <formula1>OutputAddresses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11DA-F1DE-446C-8EE2-4699EC5A2FFA}">
  <dimension ref="A1:K11"/>
  <sheetViews>
    <sheetView topLeftCell="A10" workbookViewId="0"/>
  </sheetViews>
  <sheetFormatPr defaultRowHeight="14.4" x14ac:dyDescent="0.3"/>
  <sheetData>
    <row r="1" spans="1:11" x14ac:dyDescent="0.3">
      <c r="A1" s="1" t="s">
        <v>31</v>
      </c>
      <c r="K1" s="10" t="str">
        <f>CONCATENATE("Sensitivity of ",$K$4," to ","selling price ")</f>
        <v xml:space="preserve">Sensitivity of $D$22 to selling price </v>
      </c>
    </row>
    <row r="3" spans="1:11" x14ac:dyDescent="0.3">
      <c r="A3" t="s">
        <v>36</v>
      </c>
      <c r="K3" t="s">
        <v>33</v>
      </c>
    </row>
    <row r="4" spans="1:11" ht="33.6" x14ac:dyDescent="0.3">
      <c r="B4" s="8" t="s">
        <v>15</v>
      </c>
      <c r="J4" s="10">
        <f>MATCH($K$4,OutputAddresses,0)</f>
        <v>1</v>
      </c>
      <c r="K4" s="9" t="s">
        <v>15</v>
      </c>
    </row>
    <row r="5" spans="1:11" x14ac:dyDescent="0.3">
      <c r="A5" s="6">
        <v>300</v>
      </c>
      <c r="B5" s="11">
        <v>48000</v>
      </c>
      <c r="K5">
        <f>INDEX(OutputValues,1,$J$4)</f>
        <v>48000</v>
      </c>
    </row>
    <row r="6" spans="1:11" x14ac:dyDescent="0.3">
      <c r="A6" s="6">
        <v>350</v>
      </c>
      <c r="B6" s="12">
        <v>82800</v>
      </c>
      <c r="K6">
        <f>INDEX(OutputValues,2,$J$4)</f>
        <v>82800</v>
      </c>
    </row>
    <row r="7" spans="1:11" x14ac:dyDescent="0.3">
      <c r="A7" s="6">
        <v>400</v>
      </c>
      <c r="B7" s="12">
        <v>142800</v>
      </c>
      <c r="K7">
        <f>INDEX(OutputValues,3,$J$4)</f>
        <v>142800</v>
      </c>
    </row>
    <row r="8" spans="1:11" x14ac:dyDescent="0.3">
      <c r="A8" s="6">
        <v>450</v>
      </c>
      <c r="B8" s="12">
        <v>202800</v>
      </c>
      <c r="K8">
        <f>INDEX(OutputValues,4,$J$4)</f>
        <v>202800</v>
      </c>
    </row>
    <row r="9" spans="1:11" x14ac:dyDescent="0.3">
      <c r="A9" s="6">
        <v>500</v>
      </c>
      <c r="B9" s="12">
        <v>262800</v>
      </c>
      <c r="K9">
        <f>INDEX(OutputValues,5,$J$4)</f>
        <v>262800</v>
      </c>
    </row>
    <row r="10" spans="1:11" x14ac:dyDescent="0.3">
      <c r="A10" s="6">
        <v>550</v>
      </c>
      <c r="B10" s="12">
        <v>322800</v>
      </c>
      <c r="K10">
        <f>INDEX(OutputValues,6,$J$4)</f>
        <v>322800</v>
      </c>
    </row>
    <row r="11" spans="1:11" x14ac:dyDescent="0.3">
      <c r="A11" s="6">
        <v>600</v>
      </c>
      <c r="B11" s="13">
        <v>382800</v>
      </c>
      <c r="K11">
        <f>INDEX(OutputValues,7,$J$4)</f>
        <v>382800</v>
      </c>
    </row>
  </sheetData>
  <dataValidations count="1">
    <dataValidation type="list" allowBlank="1" showInputMessage="1" showErrorMessage="1" sqref="K4" xr:uid="{16DEB80B-89B2-45C2-852D-16EE8E9D2B93}">
      <formula1>OutputAddresses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Model</vt:lpstr>
      <vt:lpstr>STS_7</vt:lpstr>
      <vt:lpstr>STS_1</vt:lpstr>
      <vt:lpstr>STS_1!ChartData</vt:lpstr>
      <vt:lpstr>STS_7!ChartData</vt:lpstr>
      <vt:lpstr>STS_1!InputValues</vt:lpstr>
      <vt:lpstr>STS_7!InputValues</vt:lpstr>
      <vt:lpstr>STS_1!OutputAddresses</vt:lpstr>
      <vt:lpstr>STS_7!OutputAddresses</vt:lpstr>
      <vt:lpstr>STS_1!OutputValues</vt:lpstr>
      <vt:lpstr>STS_7!OutputValues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RaviShan.Mishra</cp:lastModifiedBy>
  <cp:lastPrinted>2009-12-27T17:10:49Z</cp:lastPrinted>
  <dcterms:created xsi:type="dcterms:W3CDTF">2009-09-28T15:17:58Z</dcterms:created>
  <dcterms:modified xsi:type="dcterms:W3CDTF">2026-01-05T07:26:34Z</dcterms:modified>
</cp:coreProperties>
</file>